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d93ad933fe4058c/Desktop/Portfolio Projects/Audit Working Papers/"/>
    </mc:Choice>
  </mc:AlternateContent>
  <xr:revisionPtr revIDLastSave="8" documentId="11_8A1C86081F32FE3662E89124B3F876A2E83E5447" xr6:coauthVersionLast="47" xr6:coauthVersionMax="47" xr10:uidLastSave="{EACFD4D4-B9AA-48E2-9C92-D41675185159}"/>
  <bookViews>
    <workbookView xWindow="-108" yWindow="-108" windowWidth="23256" windowHeight="12456" xr2:uid="{00000000-000D-0000-FFFF-FFFF00000000}"/>
  </bookViews>
  <sheets>
    <sheet name="Engagement Details" sheetId="1" r:id="rId1"/>
    <sheet name="Company Background" sheetId="2" r:id="rId2"/>
    <sheet name="Audit Objectives" sheetId="3" r:id="rId3"/>
    <sheet name="Materiality" sheetId="4" r:id="rId4"/>
    <sheet name="Preliminary Risk Assessment" sheetId="5" r:id="rId5"/>
    <sheet name="Audit Strategy" sheetId="6" r:id="rId6"/>
    <sheet name="Sign-off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9" i="4" s="1"/>
</calcChain>
</file>

<file path=xl/sharedStrings.xml><?xml version="1.0" encoding="utf-8"?>
<sst xmlns="http://schemas.openxmlformats.org/spreadsheetml/2006/main" count="136" uniqueCount="113">
  <si>
    <t>MERIDIAN TRADING LTD — AUDIT PLANNING WORKING PAPER</t>
  </si>
  <si>
    <t>Engagement Details</t>
  </si>
  <si>
    <t>Company</t>
  </si>
  <si>
    <t>Meridian Trading Ltd</t>
  </si>
  <si>
    <t>Engagement Type</t>
  </si>
  <si>
    <t>Fictional audit engagement</t>
  </si>
  <si>
    <t>Audit Period</t>
  </si>
  <si>
    <t>Year ended 30 June</t>
  </si>
  <si>
    <t>Reporting Date</t>
  </si>
  <si>
    <t>30 June</t>
  </si>
  <si>
    <t>Prepared By</t>
  </si>
  <si>
    <t>Audit Team</t>
  </si>
  <si>
    <t>Reviewed By</t>
  </si>
  <si>
    <t>Manager</t>
  </si>
  <si>
    <t>1. COMPANY BACKGROUND</t>
  </si>
  <si>
    <t>Business Understanding</t>
  </si>
  <si>
    <t>Nature of Business</t>
  </si>
  <si>
    <t>Trading business — detailed operational information to be documented from the engagement understanding.</t>
  </si>
  <si>
    <t>Financial Statement Areas</t>
  </si>
  <si>
    <t>Revenue, payables, cash, inventory and management estimates are relevant areas for planning.</t>
  </si>
  <si>
    <t>Purpose of Understanding</t>
  </si>
  <si>
    <t>Understand the business and identify financial statement areas requiring audit focus.</t>
  </si>
  <si>
    <t>2. AUDIT OBJECTIVES</t>
  </si>
  <si>
    <t>Audit Objectives</t>
  </si>
  <si>
    <t>Objective</t>
  </si>
  <si>
    <t>Description</t>
  </si>
  <si>
    <t>Status</t>
  </si>
  <si>
    <t>Reference</t>
  </si>
  <si>
    <t>Financial statement audit</t>
  </si>
  <si>
    <t>Obtain sufficient appropriate audit evidence to support conclusions on the financial statements.</t>
  </si>
  <si>
    <t>Planned</t>
  </si>
  <si>
    <t>A1</t>
  </si>
  <si>
    <t>Risk-focused audit</t>
  </si>
  <si>
    <t>Identify significant and relevant risks and design appropriate audit responses.</t>
  </si>
  <si>
    <t>B1</t>
  </si>
  <si>
    <t>Assertions</t>
  </si>
  <si>
    <t>Address relevant assertions including Existence, Completeness, Valuation, Rights &amp; obligations and Cut-off.</t>
  </si>
  <si>
    <t>B/C</t>
  </si>
  <si>
    <t>Conclusions</t>
  </si>
  <si>
    <t>Document results, exceptions and conclusions for each audit section.</t>
  </si>
  <si>
    <t>Z1</t>
  </si>
  <si>
    <t>3. MATERIALITY</t>
  </si>
  <si>
    <t>Materiality Calculation</t>
  </si>
  <si>
    <t>Measure</t>
  </si>
  <si>
    <t>Amount / Rate</t>
  </si>
  <si>
    <t>Calculation</t>
  </si>
  <si>
    <t>Basis</t>
  </si>
  <si>
    <t>Profit Before Tax (PBT)</t>
  </si>
  <si>
    <t>Source example / planning basis</t>
  </si>
  <si>
    <t>Overall Materiality Benchmark</t>
  </si>
  <si>
    <t>5% benchmark applied to PBT</t>
  </si>
  <si>
    <t>Overall Materiality</t>
  </si>
  <si>
    <t>Calculated overall materiality</t>
  </si>
  <si>
    <t>Performance Materiality</t>
  </si>
  <si>
    <t>Illustrative performance materiality</t>
  </si>
  <si>
    <t>Performance Materiality as % of Overall</t>
  </si>
  <si>
    <t>Note</t>
  </si>
  <si>
    <t>Materiality figures are the illustrative example provided in the project source and are used here as the planning basis.</t>
  </si>
  <si>
    <t>4. PRELIMINARY RISK ASSESSMENT</t>
  </si>
  <si>
    <t>Preliminary Risk Assessment</t>
  </si>
  <si>
    <t>Risk Area</t>
  </si>
  <si>
    <t>Risk / Concern</t>
  </si>
  <si>
    <t>Relevant Assertions</t>
  </si>
  <si>
    <t>Preliminary Audit Response</t>
  </si>
  <si>
    <t>Risk Level</t>
  </si>
  <si>
    <t>Revenue recognition</t>
  </si>
  <si>
    <t>Revenue recognition is a presumed fraud risk requiring focused consideration.</t>
  </si>
  <si>
    <t>Cut-off; Completeness</t>
  </si>
  <si>
    <t>Perform cut-off testing and analytical review.</t>
  </si>
  <si>
    <t>High</t>
  </si>
  <si>
    <t>Inventory valuation</t>
  </si>
  <si>
    <t>Judgement may arise in determining net realisable value (NRV).</t>
  </si>
  <si>
    <t>Valuation</t>
  </si>
  <si>
    <t>Attend inventory count and test costing / NRV evidence.</t>
  </si>
  <si>
    <t>B2</t>
  </si>
  <si>
    <t>Management estimates</t>
  </si>
  <si>
    <t>Management estimates may involve judgement and potential bias.</t>
  </si>
  <si>
    <t>Challenge assumptions and seek supporting evidence.</t>
  </si>
  <si>
    <t>Medium</t>
  </si>
  <si>
    <t>B3</t>
  </si>
  <si>
    <t>5. AUDIT STRATEGY</t>
  </si>
  <si>
    <t>Preliminary Audit Strategy</t>
  </si>
  <si>
    <t>Planning Area</t>
  </si>
  <si>
    <t>Planned Approach</t>
  </si>
  <si>
    <t>Business understanding</t>
  </si>
  <si>
    <t>Understand the nature of Meridian Trading Ltd and identify relevant financial statement areas.</t>
  </si>
  <si>
    <t>Materiality</t>
  </si>
  <si>
    <t>Apply the project’s illustrative PBT benchmark and document overall and performance materiality.</t>
  </si>
  <si>
    <t>A2</t>
  </si>
  <si>
    <t>Risk assessment</t>
  </si>
  <si>
    <t>Assess revenue recognition, inventory valuation and management estimates.</t>
  </si>
  <si>
    <t>Controls</t>
  </si>
  <si>
    <t>Identify relevant controls and determine the controls-testing approach where applicable.</t>
  </si>
  <si>
    <t>C1</t>
  </si>
  <si>
    <t>Substantive testing</t>
  </si>
  <si>
    <t>Design substantive procedures around assertions and higher-risk balances.</t>
  </si>
  <si>
    <t>D–G</t>
  </si>
  <si>
    <t>Completion</t>
  </si>
  <si>
    <t>Evaluate exceptions, review points and section conclusions before final completion.</t>
  </si>
  <si>
    <t>Overall strategy</t>
  </si>
  <si>
    <t>Risk-focused audit approach: understand the business, set materiality, assess risks, plan responses, perform testing and conclude.</t>
  </si>
  <si>
    <t>6. SIGN-OFF</t>
  </si>
  <si>
    <t>Planning Sign-off</t>
  </si>
  <si>
    <t>Role</t>
  </si>
  <si>
    <t>Name</t>
  </si>
  <si>
    <t>Date</t>
  </si>
  <si>
    <t>Comments</t>
  </si>
  <si>
    <t>Prepared by</t>
  </si>
  <si>
    <t>Pending</t>
  </si>
  <si>
    <t>Reviewed by</t>
  </si>
  <si>
    <t>Approved by</t>
  </si>
  <si>
    <t>Planning conclusion</t>
  </si>
  <si>
    <t>Planning procedures documented. Detailed risk assessment, controls testing, substantive testing and completion work will be documented in the subsequent audit working-paper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</si>
</sst>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tabSelected="1" workbookViewId="0">
      <pane ySplit="3" topLeftCell="A4" activePane="bottomLeft" state="frozen"/>
      <selection pane="bottomLeft" activeCell="J14" sqref="J14"/>
    </sheetView>
  </sheetViews>
  <sheetFormatPr defaultRowHeight="14.4" x14ac:dyDescent="0.3"/>
  <cols>
    <col min="1" max="1" width="24" customWidth="1"/>
    <col min="2" max="2" width="34" customWidth="1"/>
    <col min="3" max="6" width="20" customWidth="1"/>
  </cols>
  <sheetData>
    <row r="1" spans="1:6" ht="25.95" customHeight="1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1</v>
      </c>
      <c r="B3" s="5"/>
      <c r="C3" s="5"/>
      <c r="D3" s="5"/>
      <c r="E3" s="5"/>
      <c r="F3" s="5"/>
    </row>
    <row r="4" spans="1:6" x14ac:dyDescent="0.3">
      <c r="A4" s="10" t="s">
        <v>2</v>
      </c>
      <c r="B4" s="3" t="s">
        <v>3</v>
      </c>
      <c r="C4" s="3"/>
      <c r="D4" s="3"/>
      <c r="E4" s="3"/>
      <c r="F4" s="3"/>
    </row>
    <row r="5" spans="1:6" x14ac:dyDescent="0.3">
      <c r="A5" s="10" t="s">
        <v>4</v>
      </c>
      <c r="B5" s="3" t="s">
        <v>5</v>
      </c>
      <c r="C5" s="3"/>
      <c r="D5" s="3"/>
      <c r="E5" s="3"/>
      <c r="F5" s="3"/>
    </row>
    <row r="6" spans="1:6" x14ac:dyDescent="0.3">
      <c r="A6" s="10" t="s">
        <v>6</v>
      </c>
      <c r="B6" s="3" t="s">
        <v>7</v>
      </c>
      <c r="C6" s="3"/>
      <c r="D6" s="3"/>
      <c r="E6" s="3"/>
      <c r="F6" s="3"/>
    </row>
    <row r="7" spans="1:6" x14ac:dyDescent="0.3">
      <c r="A7" s="10" t="s">
        <v>8</v>
      </c>
      <c r="B7" s="3" t="s">
        <v>9</v>
      </c>
      <c r="C7" s="3"/>
      <c r="D7" s="3"/>
      <c r="E7" s="3"/>
      <c r="F7" s="3"/>
    </row>
    <row r="8" spans="1:6" x14ac:dyDescent="0.3">
      <c r="A8" s="10" t="s">
        <v>10</v>
      </c>
      <c r="B8" s="3" t="s">
        <v>11</v>
      </c>
      <c r="C8" s="3"/>
      <c r="D8" s="3"/>
      <c r="E8" s="3"/>
      <c r="F8" s="3"/>
    </row>
    <row r="9" spans="1:6" x14ac:dyDescent="0.3">
      <c r="A9" s="10" t="s">
        <v>12</v>
      </c>
      <c r="B9" s="3" t="s">
        <v>13</v>
      </c>
      <c r="C9" s="3"/>
      <c r="D9" s="3"/>
      <c r="E9" s="3"/>
      <c r="F9" s="3"/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pane ySplit="3" topLeftCell="A4" activePane="bottomLeft" state="frozen"/>
      <selection pane="bottomLeft" sqref="A1:F7"/>
    </sheetView>
  </sheetViews>
  <sheetFormatPr defaultRowHeight="14.4" x14ac:dyDescent="0.3"/>
  <cols>
    <col min="1" max="1" width="28" customWidth="1"/>
    <col min="2" max="2" width="80" customWidth="1"/>
    <col min="3" max="6" width="20" customWidth="1"/>
  </cols>
  <sheetData>
    <row r="1" spans="1:6" ht="25.95" customHeight="1" x14ac:dyDescent="0.3">
      <c r="A1" s="1" t="s">
        <v>14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15</v>
      </c>
      <c r="B3" s="5"/>
      <c r="C3" s="5"/>
      <c r="D3" s="5"/>
      <c r="E3" s="5"/>
      <c r="F3" s="5"/>
    </row>
    <row r="4" spans="1:6" x14ac:dyDescent="0.3">
      <c r="A4" s="10" t="s">
        <v>2</v>
      </c>
      <c r="B4" s="7" t="s">
        <v>3</v>
      </c>
      <c r="C4" s="3"/>
      <c r="D4" s="3"/>
      <c r="E4" s="3"/>
      <c r="F4" s="3"/>
    </row>
    <row r="5" spans="1:6" ht="28.8" x14ac:dyDescent="0.3">
      <c r="A5" s="10" t="s">
        <v>16</v>
      </c>
      <c r="B5" s="7" t="s">
        <v>17</v>
      </c>
      <c r="C5" s="3"/>
      <c r="D5" s="3"/>
      <c r="E5" s="3"/>
      <c r="F5" s="3"/>
    </row>
    <row r="6" spans="1:6" x14ac:dyDescent="0.3">
      <c r="A6" s="10" t="s">
        <v>18</v>
      </c>
      <c r="B6" s="7" t="s">
        <v>19</v>
      </c>
      <c r="C6" s="3"/>
      <c r="D6" s="3"/>
      <c r="E6" s="3"/>
      <c r="F6" s="3"/>
    </row>
    <row r="7" spans="1:6" x14ac:dyDescent="0.3">
      <c r="A7" s="10" t="s">
        <v>20</v>
      </c>
      <c r="B7" s="7" t="s">
        <v>21</v>
      </c>
      <c r="C7" s="3"/>
      <c r="D7" s="3"/>
      <c r="E7" s="3"/>
      <c r="F7" s="3"/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>
      <pane ySplit="3" topLeftCell="A4" activePane="bottomLeft" state="frozen"/>
      <selection pane="bottomLeft" sqref="A1:F8"/>
    </sheetView>
  </sheetViews>
  <sheetFormatPr defaultRowHeight="14.4" x14ac:dyDescent="0.3"/>
  <cols>
    <col min="1" max="1" width="28" customWidth="1"/>
    <col min="2" max="2" width="85" customWidth="1"/>
    <col min="3" max="3" width="18" customWidth="1"/>
    <col min="4" max="6" width="20" customWidth="1"/>
  </cols>
  <sheetData>
    <row r="1" spans="1:6" ht="25.95" customHeight="1" x14ac:dyDescent="0.3">
      <c r="A1" s="1" t="s">
        <v>22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23</v>
      </c>
      <c r="B3" s="5"/>
      <c r="C3" s="5"/>
      <c r="D3" s="5"/>
      <c r="E3" s="5"/>
      <c r="F3" s="5"/>
    </row>
    <row r="4" spans="1:6" x14ac:dyDescent="0.3">
      <c r="A4" s="6" t="s">
        <v>24</v>
      </c>
      <c r="B4" s="6" t="s">
        <v>25</v>
      </c>
      <c r="C4" s="6" t="s">
        <v>26</v>
      </c>
      <c r="D4" s="6" t="s">
        <v>27</v>
      </c>
      <c r="E4" s="6"/>
      <c r="F4" s="6"/>
    </row>
    <row r="5" spans="1:6" x14ac:dyDescent="0.3">
      <c r="A5" s="7" t="s">
        <v>28</v>
      </c>
      <c r="B5" s="7" t="s">
        <v>29</v>
      </c>
      <c r="C5" s="7" t="s">
        <v>30</v>
      </c>
      <c r="D5" s="7" t="s">
        <v>31</v>
      </c>
      <c r="E5" s="3"/>
      <c r="F5" s="3"/>
    </row>
    <row r="6" spans="1:6" x14ac:dyDescent="0.3">
      <c r="A6" s="7" t="s">
        <v>32</v>
      </c>
      <c r="B6" s="7" t="s">
        <v>33</v>
      </c>
      <c r="C6" s="7" t="s">
        <v>30</v>
      </c>
      <c r="D6" s="7" t="s">
        <v>34</v>
      </c>
      <c r="E6" s="3"/>
      <c r="F6" s="3"/>
    </row>
    <row r="7" spans="1:6" ht="28.8" x14ac:dyDescent="0.3">
      <c r="A7" s="7" t="s">
        <v>35</v>
      </c>
      <c r="B7" s="7" t="s">
        <v>36</v>
      </c>
      <c r="C7" s="7" t="s">
        <v>30</v>
      </c>
      <c r="D7" s="7" t="s">
        <v>37</v>
      </c>
      <c r="E7" s="3"/>
      <c r="F7" s="3"/>
    </row>
    <row r="8" spans="1:6" x14ac:dyDescent="0.3">
      <c r="A8" s="7" t="s">
        <v>38</v>
      </c>
      <c r="B8" s="7" t="s">
        <v>39</v>
      </c>
      <c r="C8" s="7" t="s">
        <v>30</v>
      </c>
      <c r="D8" s="7" t="s">
        <v>40</v>
      </c>
      <c r="E8" s="3"/>
      <c r="F8" s="3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3" topLeftCell="A4" activePane="bottomLeft" state="frozen"/>
      <selection pane="bottomLeft" sqref="A1:F11"/>
    </sheetView>
  </sheetViews>
  <sheetFormatPr defaultRowHeight="14.4" x14ac:dyDescent="0.3"/>
  <cols>
    <col min="1" max="1" width="32" customWidth="1"/>
    <col min="2" max="3" width="24" customWidth="1"/>
    <col min="4" max="4" width="32" customWidth="1"/>
    <col min="5" max="6" width="20" customWidth="1"/>
  </cols>
  <sheetData>
    <row r="1" spans="1:6" ht="25.95" customHeight="1" x14ac:dyDescent="0.3">
      <c r="A1" s="1" t="s">
        <v>41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42</v>
      </c>
      <c r="B3" s="5"/>
      <c r="C3" s="5"/>
      <c r="D3" s="5"/>
      <c r="E3" s="5"/>
      <c r="F3" s="5"/>
    </row>
    <row r="4" spans="1:6" x14ac:dyDescent="0.3">
      <c r="A4" s="6" t="s">
        <v>43</v>
      </c>
      <c r="B4" s="6" t="s">
        <v>44</v>
      </c>
      <c r="C4" s="6" t="s">
        <v>45</v>
      </c>
      <c r="D4" s="6" t="s">
        <v>46</v>
      </c>
      <c r="E4" s="6"/>
      <c r="F4" s="6"/>
    </row>
    <row r="5" spans="1:6" x14ac:dyDescent="0.3">
      <c r="A5" s="10" t="s">
        <v>47</v>
      </c>
      <c r="B5" s="11">
        <v>1200000</v>
      </c>
      <c r="C5" s="3"/>
      <c r="D5" s="3" t="s">
        <v>48</v>
      </c>
      <c r="E5" s="3"/>
      <c r="F5" s="3"/>
    </row>
    <row r="6" spans="1:6" x14ac:dyDescent="0.3">
      <c r="A6" s="10" t="s">
        <v>49</v>
      </c>
      <c r="B6" s="12">
        <v>0.05</v>
      </c>
      <c r="C6" s="3"/>
      <c r="D6" s="3" t="s">
        <v>50</v>
      </c>
      <c r="E6" s="3"/>
      <c r="F6" s="3"/>
    </row>
    <row r="7" spans="1:6" x14ac:dyDescent="0.3">
      <c r="A7" s="10" t="s">
        <v>51</v>
      </c>
      <c r="B7" s="11">
        <f>B5*B6</f>
        <v>60000</v>
      </c>
      <c r="C7" s="3"/>
      <c r="D7" s="3" t="s">
        <v>52</v>
      </c>
      <c r="E7" s="3"/>
      <c r="F7" s="3"/>
    </row>
    <row r="8" spans="1:6" x14ac:dyDescent="0.3">
      <c r="A8" s="10" t="s">
        <v>53</v>
      </c>
      <c r="B8" s="11">
        <v>45000</v>
      </c>
      <c r="C8" s="3"/>
      <c r="D8" s="3" t="s">
        <v>54</v>
      </c>
      <c r="E8" s="3"/>
      <c r="F8" s="3"/>
    </row>
    <row r="9" spans="1:6" ht="28.8" x14ac:dyDescent="0.3">
      <c r="A9" s="10" t="s">
        <v>55</v>
      </c>
      <c r="B9" s="12">
        <f>B8/B7</f>
        <v>0.75</v>
      </c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ht="72" x14ac:dyDescent="0.3">
      <c r="A11" s="3" t="s">
        <v>56</v>
      </c>
      <c r="B11" s="3" t="s">
        <v>57</v>
      </c>
      <c r="C11" s="3"/>
      <c r="D11" s="3"/>
      <c r="E11" s="3"/>
      <c r="F11" s="3"/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pane ySplit="3" topLeftCell="A4" activePane="bottomLeft" state="frozen"/>
      <selection pane="bottomLeft" activeCell="C13" sqref="C13"/>
    </sheetView>
  </sheetViews>
  <sheetFormatPr defaultRowHeight="14.4" x14ac:dyDescent="0.3"/>
  <cols>
    <col min="1" max="1" width="26" customWidth="1"/>
    <col min="2" max="2" width="38" customWidth="1"/>
    <col min="3" max="3" width="35" customWidth="1"/>
    <col min="4" max="4" width="30" customWidth="1"/>
    <col min="5" max="6" width="20" customWidth="1"/>
  </cols>
  <sheetData>
    <row r="1" spans="1:6" ht="25.95" customHeight="1" x14ac:dyDescent="0.3">
      <c r="A1" s="1" t="s">
        <v>58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59</v>
      </c>
      <c r="B3" s="5"/>
      <c r="C3" s="5"/>
      <c r="D3" s="5"/>
      <c r="E3" s="5"/>
      <c r="F3" s="5"/>
    </row>
    <row r="4" spans="1:6" x14ac:dyDescent="0.3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27</v>
      </c>
    </row>
    <row r="5" spans="1:6" ht="28.8" x14ac:dyDescent="0.3">
      <c r="A5" s="7" t="s">
        <v>65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34</v>
      </c>
    </row>
    <row r="6" spans="1:6" ht="28.8" x14ac:dyDescent="0.3">
      <c r="A6" s="7" t="s">
        <v>70</v>
      </c>
      <c r="B6" s="7" t="s">
        <v>71</v>
      </c>
      <c r="C6" s="7" t="s">
        <v>72</v>
      </c>
      <c r="D6" s="7" t="s">
        <v>73</v>
      </c>
      <c r="E6" s="7" t="s">
        <v>69</v>
      </c>
      <c r="F6" s="7" t="s">
        <v>74</v>
      </c>
    </row>
    <row r="7" spans="1:6" ht="28.8" x14ac:dyDescent="0.3">
      <c r="A7" s="7" t="s">
        <v>75</v>
      </c>
      <c r="B7" s="7" t="s">
        <v>76</v>
      </c>
      <c r="C7" s="7" t="s">
        <v>72</v>
      </c>
      <c r="D7" s="7" t="s">
        <v>77</v>
      </c>
      <c r="E7" s="7" t="s">
        <v>78</v>
      </c>
      <c r="F7" s="7" t="s">
        <v>79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>
      <pane ySplit="3" topLeftCell="A4" activePane="bottomLeft" state="frozen"/>
      <selection pane="bottomLeft" activeCell="B15" sqref="B15"/>
    </sheetView>
  </sheetViews>
  <sheetFormatPr defaultRowHeight="14.4" x14ac:dyDescent="0.3"/>
  <cols>
    <col min="1" max="1" width="26" customWidth="1"/>
    <col min="2" max="2" width="70" customWidth="1"/>
    <col min="3" max="3" width="20" customWidth="1"/>
    <col min="4" max="4" width="18" customWidth="1"/>
    <col min="5" max="6" width="20" customWidth="1"/>
  </cols>
  <sheetData>
    <row r="1" spans="1:6" ht="25.95" customHeight="1" x14ac:dyDescent="0.3">
      <c r="A1" s="1" t="s">
        <v>80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81</v>
      </c>
      <c r="B3" s="5"/>
      <c r="C3" s="5"/>
      <c r="D3" s="5"/>
      <c r="E3" s="5"/>
      <c r="F3" s="5"/>
    </row>
    <row r="4" spans="1:6" x14ac:dyDescent="0.3">
      <c r="A4" s="6" t="s">
        <v>82</v>
      </c>
      <c r="B4" s="6" t="s">
        <v>83</v>
      </c>
      <c r="C4" s="6" t="s">
        <v>26</v>
      </c>
      <c r="D4" s="6" t="s">
        <v>27</v>
      </c>
      <c r="E4" s="6"/>
      <c r="F4" s="6"/>
    </row>
    <row r="5" spans="1:6" ht="28.8" x14ac:dyDescent="0.3">
      <c r="A5" s="7" t="s">
        <v>84</v>
      </c>
      <c r="B5" s="7" t="s">
        <v>85</v>
      </c>
      <c r="C5" s="7" t="s">
        <v>30</v>
      </c>
      <c r="D5" s="7" t="s">
        <v>31</v>
      </c>
      <c r="E5" s="3"/>
      <c r="F5" s="3"/>
    </row>
    <row r="6" spans="1:6" ht="28.8" x14ac:dyDescent="0.3">
      <c r="A6" s="7" t="s">
        <v>86</v>
      </c>
      <c r="B6" s="7" t="s">
        <v>87</v>
      </c>
      <c r="C6" s="7" t="s">
        <v>30</v>
      </c>
      <c r="D6" s="7" t="s">
        <v>88</v>
      </c>
      <c r="E6" s="3"/>
      <c r="F6" s="3"/>
    </row>
    <row r="7" spans="1:6" x14ac:dyDescent="0.3">
      <c r="A7" s="7" t="s">
        <v>89</v>
      </c>
      <c r="B7" s="7" t="s">
        <v>90</v>
      </c>
      <c r="C7" s="7" t="s">
        <v>30</v>
      </c>
      <c r="D7" s="7" t="s">
        <v>34</v>
      </c>
      <c r="E7" s="3"/>
      <c r="F7" s="3"/>
    </row>
    <row r="8" spans="1:6" ht="28.8" x14ac:dyDescent="0.3">
      <c r="A8" s="7" t="s">
        <v>91</v>
      </c>
      <c r="B8" s="7" t="s">
        <v>92</v>
      </c>
      <c r="C8" s="7" t="s">
        <v>30</v>
      </c>
      <c r="D8" s="7" t="s">
        <v>93</v>
      </c>
      <c r="E8" s="3"/>
      <c r="F8" s="3"/>
    </row>
    <row r="9" spans="1:6" x14ac:dyDescent="0.3">
      <c r="A9" s="7" t="s">
        <v>94</v>
      </c>
      <c r="B9" s="7" t="s">
        <v>95</v>
      </c>
      <c r="C9" s="7" t="s">
        <v>30</v>
      </c>
      <c r="D9" s="7" t="s">
        <v>96</v>
      </c>
      <c r="E9" s="3"/>
      <c r="F9" s="3"/>
    </row>
    <row r="10" spans="1:6" ht="28.8" x14ac:dyDescent="0.3">
      <c r="A10" s="7" t="s">
        <v>97</v>
      </c>
      <c r="B10" s="7" t="s">
        <v>98</v>
      </c>
      <c r="C10" s="7" t="s">
        <v>30</v>
      </c>
      <c r="D10" s="7" t="s">
        <v>40</v>
      </c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ht="28.8" x14ac:dyDescent="0.3">
      <c r="A13" s="8" t="s">
        <v>99</v>
      </c>
      <c r="B13" s="3" t="s">
        <v>100</v>
      </c>
      <c r="C13" s="3"/>
      <c r="D13" s="3"/>
      <c r="E13" s="3"/>
      <c r="F13" s="3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workbookViewId="0">
      <pane ySplit="3" topLeftCell="A4" activePane="bottomLeft" state="frozen"/>
      <selection pane="bottomLeft" activeCell="D11" sqref="D11"/>
    </sheetView>
  </sheetViews>
  <sheetFormatPr defaultRowHeight="14.4" x14ac:dyDescent="0.3"/>
  <cols>
    <col min="1" max="2" width="28" customWidth="1"/>
    <col min="3" max="3" width="24" customWidth="1"/>
    <col min="4" max="4" width="30" customWidth="1"/>
    <col min="5" max="6" width="20" customWidth="1"/>
  </cols>
  <sheetData>
    <row r="1" spans="1:6" ht="25.95" customHeight="1" x14ac:dyDescent="0.3">
      <c r="A1" s="1" t="s">
        <v>101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102</v>
      </c>
      <c r="B3" s="5"/>
      <c r="C3" s="5"/>
      <c r="D3" s="5"/>
      <c r="E3" s="5"/>
      <c r="F3" s="5"/>
    </row>
    <row r="4" spans="1:6" x14ac:dyDescent="0.3">
      <c r="A4" s="6" t="s">
        <v>103</v>
      </c>
      <c r="B4" s="6" t="s">
        <v>104</v>
      </c>
      <c r="C4" s="6" t="s">
        <v>105</v>
      </c>
      <c r="D4" s="6" t="s">
        <v>26</v>
      </c>
      <c r="E4" s="6" t="s">
        <v>106</v>
      </c>
      <c r="F4" s="6"/>
    </row>
    <row r="5" spans="1:6" x14ac:dyDescent="0.3">
      <c r="A5" s="8" t="s">
        <v>107</v>
      </c>
      <c r="B5" s="3"/>
      <c r="C5" s="3"/>
      <c r="D5" s="9" t="s">
        <v>108</v>
      </c>
      <c r="E5" s="3"/>
      <c r="F5" s="3"/>
    </row>
    <row r="6" spans="1:6" x14ac:dyDescent="0.3">
      <c r="A6" s="8" t="s">
        <v>109</v>
      </c>
      <c r="B6" s="3"/>
      <c r="C6" s="3"/>
      <c r="D6" s="9" t="s">
        <v>108</v>
      </c>
      <c r="E6" s="3"/>
      <c r="F6" s="3"/>
    </row>
    <row r="7" spans="1:6" x14ac:dyDescent="0.3">
      <c r="A7" s="8" t="s">
        <v>110</v>
      </c>
      <c r="B7" s="3"/>
      <c r="C7" s="3"/>
      <c r="D7" s="9" t="s">
        <v>108</v>
      </c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ht="100.8" x14ac:dyDescent="0.3">
      <c r="A9" s="8" t="s">
        <v>111</v>
      </c>
      <c r="B9" s="3" t="s">
        <v>112</v>
      </c>
      <c r="C9" s="3"/>
      <c r="D9" s="3"/>
      <c r="E9" s="3"/>
      <c r="F9" s="3"/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Engagement Details</vt:lpstr>
      <vt:lpstr>Company Background</vt:lpstr>
      <vt:lpstr>Audit Objectives</vt:lpstr>
      <vt:lpstr>Materiality</vt:lpstr>
      <vt:lpstr>Preliminary Risk Assessment</vt:lpstr>
      <vt:lpstr>Audit Strategy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Varthan</cp:lastModifiedBy>
  <dcterms:created xsi:type="dcterms:W3CDTF">2026-09-22T06:12:55Z</dcterms:created>
  <dcterms:modified xsi:type="dcterms:W3CDTF">2026-09-22T06:16:38Z</dcterms:modified>
</cp:coreProperties>
</file>